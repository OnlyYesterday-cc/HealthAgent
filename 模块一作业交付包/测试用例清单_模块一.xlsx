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a99fc0899d4406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formation文档信息" sheetId="1" r:id="R9536e6d212d64fb5"/>
    <x:sheet xmlns:r="http://schemas.openxmlformats.org/officeDocument/2006/relationships" name="Test Cases测试用例" sheetId="2" r:id="Rfbc48cd52b3b4855"/>
    <x:sheet xmlns:r="http://schemas.openxmlformats.org/officeDocument/2006/relationships" name="Introduction使用说明" sheetId="3" r:id="R4db0af56e92c44b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"/>
    <x:numFmt numFmtId="201" formatCode="0%"/>
  </x:numFmts>
  <x:fonts count="5">
    <x:font>
      <x:sz val="11"/>
      <x:name val="Carlito"/>
    </x:font>
    <x:font>
      <x:sz val="11"/>
      <x:name val="Heiti SC"/>
    </x:font>
    <x:font>
      <x:b/>
      <x:sz val="11"/>
      <x:name val="Heiti SC"/>
    </x:font>
    <x:font>
      <x:b/>
      <x:sz val="17"/>
      <x:name val="Heiti SC"/>
    </x:font>
    <x:font>
      <x:b/>
      <x:sz val="12"/>
      <x:name val="Heiti SC"/>
    </x:font>
  </x:fonts>
  <x:fills count="5">
    <x:fill>
      <x:patternFill patternType="none"/>
    </x:fill>
    <x:fill>
      <x:patternFill patternType="gray125"/>
    </x:fill>
    <x:fill>
      <x:patternFill patternType="solid">
        <x:fgColor rgb="FFE5EAF0"/>
      </x:patternFill>
    </x:fill>
    <x:fill>
      <x:patternFill patternType="solid">
        <x:fgColor rgb="FFFFFFFF"/>
      </x:patternFill>
    </x:fill>
    <x:fill>
      <x:patternFill patternType="solid">
        <x:fgColor rgb="FFF0F3F6"/>
      </x:patternFill>
    </x:fill>
  </x:fills>
  <x:borders count="2">
    <x:border/>
    <x:border>
      <x:left style="thin">
        <x:color rgb="FFD4DBE2"/>
      </x:left>
      <x:right style="thin">
        <x:color rgb="FFD4DBE2"/>
      </x:right>
      <x:top style="thin">
        <x:color rgb="FFD4DBE2"/>
      </x:top>
      <x:bottom style="thin">
        <x:color rgb="FFD4DBE2"/>
      </x:bottom>
    </x:border>
  </x:borders>
  <x:cellStyleXfs count="1">
    <x:xf numFmtId="0" fontId="0" fillId="0" borderId="0"/>
  </x:cellStyleXfs>
  <x:cellXfs count="23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vertical="top" wrapText="1"/>
    </x:xf>
    <x:xf numFmtId="0" fontId="2" fillId="2" borderId="0" xfId="0" applyNumberFormat="1" applyFont="1" applyFill="1" applyBorder="1" applyAlignment="1">
      <x:alignment vertical="top" wrapText="1"/>
    </x:xf>
    <x:xf numFmtId="0" fontId="2" fillId="2" borderId="0" xfId="0" applyNumberFormat="1" applyFont="1" applyFill="1" applyBorder="1" applyAlignment="1">
      <x:alignment horizontal="center" vertical="top" wrapText="1"/>
    </x:xf>
    <x:xf numFmtId="0" fontId="2" fillId="2" borderId="0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horizontal="center" vertical="top" wrapText="1"/>
    </x:xf>
    <x:xf numFmtId="0" fontId="2" fillId="2" borderId="1" xfId="0" applyNumberFormat="1" applyFont="1" applyFill="1" applyBorder="1" applyAlignment="1">
      <x:alignment horizontal="center" vertical="center" wrapText="1"/>
    </x:xf>
    <x:xf numFmtId="0" fontId="1" fillId="0" borderId="1" xfId="0" applyNumberFormat="1" applyFont="1" applyFill="1" applyBorder="1" applyAlignment="1">
      <x:alignment vertical="top" wrapText="1"/>
    </x:xf>
    <x:xf numFmtId="0" fontId="1" fillId="0" borderId="1" xfId="0" applyNumberFormat="1" applyFont="1" applyFill="1" applyBorder="1" applyAlignment="1">
      <x:alignment horizontal="center" vertical="top" wrapText="1"/>
    </x:xf>
    <x:xf numFmtId="0" fontId="1" fillId="0" borderId="0" xfId="0" applyNumberFormat="1" applyFont="1" applyFill="1" applyBorder="1" applyAlignment="1">
      <x:alignment vertical="center" wrapText="1"/>
    </x:xf>
    <x:xf numFmtId="0" fontId="1" fillId="3" borderId="0" xfId="0" applyNumberFormat="1" applyFont="1" applyFill="1" applyBorder="1" applyAlignment="1">
      <x:alignment vertical="center" wrapText="1"/>
    </x:xf>
    <x:xf numFmtId="0" fontId="3" fillId="3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201" fontId="1" fillId="0" borderId="0" xfId="0" applyNumberFormat="1" applyFont="1" applyFill="1" applyBorder="1" applyAlignment="1">
      <x:alignment vertical="center" wrapText="1"/>
    </x:xf>
    <x:xf numFmtId="0" fontId="1" fillId="0" borderId="1" xfId="0" applyNumberFormat="1" applyFont="1" applyFill="1" applyBorder="1" applyAlignment="1">
      <x:alignment vertical="center" wrapText="1"/>
    </x:xf>
    <x:xf numFmtId="200" fontId="1" fillId="0" borderId="1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1">
    <x:dxf>
      <x:font>
        <x:color rgb="FF146B45"/>
      </x:font>
      <x:fill>
        <x:patternFill patternType="solid">
          <x:bgColor rgb="FFE9F4ED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70718b4c8764aeb" /><Relationship Type="http://schemas.openxmlformats.org/officeDocument/2006/relationships/theme" Target="/xl/theme/theme1.xml" Id="R02f0b67464a74691" /><Relationship Type="http://schemas.openxmlformats.org/officeDocument/2006/relationships/sharedStrings" Target="/xl/sharedStrings.xml" Id="Rc0da300a3e834a60" /><Relationship Type="http://schemas.openxmlformats.org/officeDocument/2006/relationships/worksheet" Target="/xl/worksheets/sheet1.xml" Id="R9536e6d212d64fb5" /><Relationship Type="http://schemas.openxmlformats.org/officeDocument/2006/relationships/worksheet" Target="/xl/worksheets/sheet2.xml" Id="Rfbc48cd52b3b4855" /><Relationship Type="http://schemas.openxmlformats.org/officeDocument/2006/relationships/worksheet" Target="/xl/worksheets/sheet3.xml" Id="R4db0af56e92c44bc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.219999313354492" hidden="0" customWidth="1"/>
    <x:col min="2" max="2" width="23.329999923706055" hidden="0" customWidth="1"/>
    <x:col min="3" max="3" width="11.109999656677246" hidden="0" customWidth="1"/>
    <x:col min="4" max="4" width="23.329999923706055" hidden="0" customWidth="1"/>
    <x:col min="5" max="5" width="28.889999389648438" hidden="0" customWidth="1"/>
    <x:col min="6" max="6" width="2.6700000762939453" hidden="0" customWidth="1"/>
  </x:cols>
  <x:sheetData>
    <x:row r="1" ht="27" customHeight="1">
      <x:c r="A1" s="14" t="str">
        <x:v>Test Case Form 测试用例表单</x:v>
      </x:c>
      <x:c r="B1" s="14" t="str"/>
      <x:c r="C1" s="14" t="str"/>
      <x:c r="D1" s="14" t="str"/>
      <x:c r="E1" s="14" t="str"/>
      <x:c r="F1" s="14" t="str"/>
    </x:row>
    <x:row r="2" ht="27" customHeight="1">
      <x:c r="A2" s="16" t="str">
        <x:v>General Information 基本信息</x:v>
      </x:c>
      <x:c r="B2" s="16" t="str"/>
      <x:c r="C2" s="16" t="str"/>
      <x:c r="D2" s="16" t="str"/>
      <x:c r="E2" s="16" t="str"/>
      <x:c r="F2" s="16" t="str"/>
    </x:row>
    <x:row r="3" ht="36" customHeight="1">
      <x:c r="A3" s="20" t="str">
        <x:v>Product Version 产品版本</x:v>
      </x:c>
      <x:c r="B3" s="20" t="str">
        <x:v>2026-09-12 本地修复版本</x:v>
      </x:c>
      <x:c r="C3" s="20" t="str"/>
      <x:c r="D3" s="20" t="str">
        <x:v>Confidentiality level 密级</x:v>
      </x:c>
      <x:c r="E3" s="20" t="str">
        <x:v>课程作业，未定密</x:v>
      </x:c>
      <x:c r="F3" s="20" t="str"/>
    </x:row>
    <x:row r="4" ht="36" customHeight="1">
      <x:c r="A4" s="20" t="str">
        <x:v>Project Name 项目名称</x:v>
      </x:c>
      <x:c r="B4" s="20" t="str">
        <x:v>HealthAgent 模块一</x:v>
      </x:c>
      <x:c r="C4" s="20" t="str"/>
      <x:c r="D4" s="20" t="str">
        <x:v>Project ID 项目ID</x:v>
      </x:c>
      <x:c r="E4" s="20" t="str">
        <x:v>HealthAgent</x:v>
      </x:c>
      <x:c r="F4" s="20" t="str"/>
    </x:row>
    <x:row r="5" ht="36" customHeight="1">
      <x:c r="A5" s="20" t="str">
        <x:v>Prepared by 拟制</x:v>
      </x:c>
      <x:c r="B5" s="20" t="str">
        <x:v>小组整理</x:v>
      </x:c>
      <x:c r="C5" s="20" t="str"/>
      <x:c r="D5" s="20" t="str">
        <x:v>Date 日期</x:v>
      </x:c>
      <x:c r="E5" s="21" t="n">
        <x:v>46278</x:v>
      </x:c>
      <x:c r="F5" s="20" t="str"/>
    </x:row>
    <x:row r="6" ht="36" customHeight="1">
      <x:c r="A6" s="20" t="str">
        <x:v>Reviewed by 评审人</x:v>
      </x:c>
      <x:c r="B6" s="20" t="str">
        <x:v>袁立沛 M202677260</x:v>
      </x:c>
      <x:c r="C6" s="20" t="str"/>
      <x:c r="D6" s="20" t="str">
        <x:v>Date 日期</x:v>
      </x:c>
      <x:c r="E6" s="21" t="n">
        <x:v>46278</x:v>
      </x:c>
      <x:c r="F6" s="20" t="str"/>
    </x:row>
    <x:row r="7" ht="36" customHeight="1">
      <x:c r="A7" s="20" t="str">
        <x:v>Approved by 批准</x:v>
      </x:c>
      <x:c r="B7" s="20" t="str">
        <x:v>袁立沛 M202677260</x:v>
      </x:c>
      <x:c r="C7" s="20" t="str"/>
      <x:c r="D7" s="20" t="str">
        <x:v>Date 日期</x:v>
      </x:c>
      <x:c r="E7" s="21" t="n">
        <x:v>46278</x:v>
      </x:c>
      <x:c r="F7" s="20" t="str"/>
    </x:row>
    <x:row r="8" ht="36" customHeight="1">
      <x:c r="A8" s="20" t="str">
        <x:v>小组成员</x:v>
      </x:c>
      <x:c r="B8" s="20" t="str">
        <x:v>陆京超 M202677236，袁立沛 M202677260</x:v>
      </x:c>
      <x:c r="C8" s="20" t="str"/>
      <x:c r="D8" s="20" t="str">
        <x:v>拟定分工</x:v>
      </x:c>
      <x:c r="E8" s="20" t="str">
        <x:v>各50%</x:v>
      </x:c>
      <x:c r="F8" s="20" t="str"/>
    </x:row>
    <x:row r="9" ht="36" customHeight="1">
      <x:c r="A9" s="20" t="str">
        <x:v>Number of Test cases 测试用例数</x:v>
      </x:c>
      <x:c r="B9" s="20" t="n">
        <x:f>COUNTA('Test Cases测试用例'!A2:A31)</x:f>
        <x:v>30</x:v>
      </x:c>
      <x:c r="C9" s="20" t="str"/>
      <x:c r="D9" s="20" t="str">
        <x:v>自动化用例数</x:v>
      </x:c>
      <x:c r="E9" s="20" t="n">
        <x:f>COUNTIF('Test Cases测试用例'!E2:E31,"是")</x:f>
        <x:v>30</x:v>
      </x:c>
      <x:c r="F9" s="20" t="str"/>
    </x:row>
    <x:row r="10" ht="27" customHeight="1">
      <x:c r="A10" s="16" t="str">
        <x:v>Introduction 概述</x:v>
      </x:c>
      <x:c r="B10" s="16" t="str"/>
      <x:c r="C10" s="16" t="str"/>
      <x:c r="D10" s="16" t="str"/>
      <x:c r="E10" s="16" t="str"/>
      <x:c r="F10" s="16" t="str"/>
    </x:row>
    <x:row r="11" ht="40.5" customHeight="1">
      <x:c r="A11" s="12" t="str">
        <x:v>范围</x:v>
      </x:c>
      <x:c r="B11" s="12" t="str">
        <x:v>认证13条、个人信息7条、血压记录10条。注册参数校验按4个执行实例计数。</x:v>
      </x:c>
      <x:c r="C11" s="12" t="str"/>
      <x:c r="D11" s="12" t="str"/>
      <x:c r="E11" s="12" t="str"/>
      <x:c r="F11" s="12" t="str"/>
    </x:row>
    <x:row r="12" ht="40.5" customHeight="1">
      <x:c r="A12" s="12" t="str">
        <x:v>设计方法</x:v>
      </x:c>
      <x:c r="B12" s="12" t="str">
        <x:v>等价类16条、场景法14条。3个缺陷专项回归不计入本表。</x:v>
      </x:c>
      <x:c r="C12" s="12" t="str"/>
      <x:c r="D12" s="12" t="str"/>
      <x:c r="E12" s="12" t="str"/>
      <x:c r="F12" s="12" t="str"/>
    </x:row>
    <x:row r="13" ht="51" customHeight="1">
      <x:c r="A13" s="12" t="str">
        <x:v>执行证据</x:v>
      </x:c>
      <x:c r="B13" s="12" t="str">
        <x:v>2026-09-12记录：30条通过。日志见执行结果目录。</x:v>
      </x:c>
      <x:c r="C13" s="12" t="str"/>
      <x:c r="D13" s="12" t="str"/>
      <x:c r="E13" s="12" t="str"/>
      <x:c r="F13" s="12" t="str"/>
    </x:row>
    <x:row r="14" ht="27" customHeight="1">
      <x:c r="A14" s="16" t="str">
        <x:v>Revision Record 修订记录</x:v>
      </x:c>
      <x:c r="B14" s="16" t="str"/>
      <x:c r="C14" s="16" t="str"/>
      <x:c r="D14" s="16" t="str"/>
      <x:c r="E14" s="16" t="str"/>
      <x:c r="F14" s="16" t="str"/>
    </x:row>
    <x:row r="15" ht="36" customHeight="1">
      <x:c r="A15" s="17" t="str">
        <x:v>Date 日期</x:v>
      </x:c>
      <x:c r="B15" s="17" t="str">
        <x:v>Revision Version 修订版本</x:v>
      </x:c>
      <x:c r="C15" s="17" t="str">
        <x:v>CR ID / Defect ID CR号</x:v>
      </x:c>
      <x:c r="D15" s="17" t="str">
        <x:v>Change Description 修改描述</x:v>
      </x:c>
      <x:c r="E15" s="17" t="str">
        <x:v>Author 作者</x:v>
      </x:c>
      <x:c r="F15" s="17" t="str"/>
    </x:row>
    <x:row r="16" ht="75" customHeight="1">
      <x:c r="A16" s="18" t="n">
        <x:v>46278</x:v>
      </x:c>
      <x:c r="B16" s="12" t="str">
        <x:v>1.1</x:v>
      </x:c>
      <x:c r="C16" s="12" t="str">
        <x:v>不适用</x:v>
      </x:c>
      <x:c r="D16" s="12" t="str">
        <x:v>精简文字，保留30条用例和模板字段。</x:v>
      </x:c>
      <x:c r="E16" s="12" t="str">
        <x:v>小组整理</x:v>
      </x:c>
      <x:c r="F16" s="12" t="str"/>
    </x:row>
    <x:row r="17" ht="27" customHeight="1">
      <x:c r="A17" s="16" t="str">
        <x:v>Distribution LIST 分发记录</x:v>
      </x:c>
      <x:c r="B17" s="16" t="str"/>
      <x:c r="C17" s="16" t="str"/>
      <x:c r="D17" s="16" t="str"/>
      <x:c r="E17" s="16" t="str"/>
      <x:c r="F17" s="16" t="str"/>
    </x:row>
    <x:row r="18" ht="36" customHeight="1">
      <x:c r="A18" s="17" t="str">
        <x:v>Copy No.</x:v>
      </x:c>
      <x:c r="B18" s="17" t="str">
        <x:v>Holder Name 持有者及角色</x:v>
      </x:c>
      <x:c r="C18" s="17" t="str"/>
      <x:c r="D18" s="17" t="str">
        <x:v>Issue Date 分发日期</x:v>
      </x:c>
      <x:c r="E18" s="17" t="str"/>
      <x:c r="F18" s="17" t="str"/>
    </x:row>
    <x:row r="19" ht="36" customHeight="1">
      <x:c r="A19" s="12" t="str">
        <x:v>不适用</x:v>
      </x:c>
      <x:c r="B19" s="12" t="str">
        <x:v>未正式分发</x:v>
      </x:c>
      <x:c r="C19" s="12" t="str"/>
      <x:c r="D19" s="12" t="str">
        <x:v>不适用</x:v>
      </x:c>
      <x:c r="E19" s="12" t="str"/>
      <x:c r="F19" s="12" t="str"/>
    </x:row>
    <x:row r="20" ht="27" customHeight="1">
      <x:c r="A20" s="16" t="str">
        <x:v>测试结果分析</x:v>
      </x:c>
      <x:c r="B20" s="16" t="str"/>
      <x:c r="C20" s="16" t="str"/>
      <x:c r="D20" s="16" t="str"/>
      <x:c r="E20" s="16" t="str"/>
      <x:c r="F20" s="16" t="str"/>
    </x:row>
    <x:row r="21" ht="36" customHeight="1">
      <x:c r="A21" s="17" t="str">
        <x:v>状态</x:v>
      </x:c>
      <x:c r="B21" s="17" t="str">
        <x:v>数量</x:v>
      </x:c>
      <x:c r="C21" s="17" t="str">
        <x:v>比例</x:v>
      </x:c>
      <x:c r="D21" s="17" t="str">
        <x:v>说明</x:v>
      </x:c>
      <x:c r="E21" s="17" t="str"/>
      <x:c r="F21" s="17" t="str"/>
    </x:row>
    <x:row r="22" ht="36" customHeight="1">
      <x:c r="A22" s="12" t="str">
        <x:v>OK</x:v>
      </x:c>
      <x:c r="B22" s="12" t="n">
        <x:f>COUNTIF('Test Cases测试用例'!L2:L31,A22)</x:f>
        <x:v>30</x:v>
      </x:c>
      <x:c r="C22" s="19" t="n">
        <x:f>IF($B$9=0,0,B22/$B$9)</x:f>
        <x:v>1</x:v>
      </x:c>
      <x:c r="D22" s="12" t="str">
        <x:v>通过</x:v>
      </x:c>
      <x:c r="E22" s="12" t="str"/>
      <x:c r="F22" s="12" t="str"/>
    </x:row>
    <x:row r="23" ht="36" customHeight="1">
      <x:c r="A23" s="12" t="str">
        <x:v>POK</x:v>
      </x:c>
      <x:c r="B23" s="12" t="n">
        <x:f>COUNTIF('Test Cases测试用例'!L2:L31,A23)</x:f>
        <x:v>0</x:v>
      </x:c>
      <x:c r="C23" s="19" t="n">
        <x:f>IF($B$9=0,0,B23/$B$9)</x:f>
        <x:v>0</x:v>
      </x:c>
      <x:c r="D23" s="12" t="str">
        <x:v>部分通过</x:v>
      </x:c>
      <x:c r="E23" s="12" t="str"/>
      <x:c r="F23" s="12" t="str"/>
    </x:row>
    <x:row r="24" ht="36" customHeight="1">
      <x:c r="A24" s="12" t="str">
        <x:v>NG</x:v>
      </x:c>
      <x:c r="B24" s="12" t="n">
        <x:f>COUNTIF('Test Cases测试用例'!L2:L31,A24)</x:f>
        <x:v>0</x:v>
      </x:c>
      <x:c r="C24" s="19" t="n">
        <x:f>IF($B$9=0,0,B24/$B$9)</x:f>
        <x:v>0</x:v>
      </x:c>
      <x:c r="D24" s="12" t="str">
        <x:v>不能通过</x:v>
      </x:c>
      <x:c r="E24" s="12" t="str"/>
      <x:c r="F24" s="12" t="str"/>
    </x:row>
    <x:row r="25" ht="36" customHeight="1">
      <x:c r="A25" s="12" t="str">
        <x:v>NT</x:v>
      </x:c>
      <x:c r="B25" s="12" t="n">
        <x:f>COUNTIF('Test Cases测试用例'!L2:L31,A25)</x:f>
        <x:v>0</x:v>
      </x:c>
      <x:c r="C25" s="19" t="n">
        <x:f>IF($B$9=0,0,B25/$B$9)</x:f>
        <x:v>0</x:v>
      </x:c>
      <x:c r="D25" s="12" t="str">
        <x:v>用例错误，无法执行</x:v>
      </x:c>
      <x:c r="E25" s="12" t="str"/>
      <x:c r="F25" s="12" t="str"/>
    </x:row>
    <x:row r="26" ht="36" customHeight="1">
      <x:c r="A26" s="12" t="str">
        <x:v>合计</x:v>
      </x:c>
      <x:c r="B26" s="12" t="n">
        <x:f>SUM(B22:B25)</x:f>
        <x:v>30</x:v>
      </x:c>
      <x:c r="C26" s="19" t="n">
        <x:f>SUM(C22:C25)</x:f>
        <x:v>1</x:v>
      </x:c>
      <x:c r="D26" s="12" t="str">
        <x:v>统计 Test Cases 表中30条用例</x:v>
      </x:c>
      <x:c r="E26" s="12" t="str"/>
      <x:c r="F26" s="12" t="str"/>
    </x:row>
    <x:row r="27" ht="36" customHeight="1">
      <x:c r="A27" s="12"/>
      <x:c r="B27" s="12"/>
      <x:c r="C27" s="12"/>
      <x:c r="D27" s="12"/>
      <x:c r="E27" s="12"/>
      <x:c r="F27" s="12"/>
    </x:row>
    <x:row r="28" ht="36" customHeight="1">
      <x:c r="A28" s="12"/>
      <x:c r="B28" s="12"/>
      <x:c r="C28" s="12"/>
      <x:c r="D28" s="12"/>
      <x:c r="E28" s="12"/>
      <x:c r="F28" s="12"/>
    </x:row>
    <x:row r="29" ht="36" customHeight="1">
      <x:c r="A29" s="12"/>
      <x:c r="B29" s="12"/>
      <x:c r="C29" s="12"/>
      <x:c r="D29" s="12"/>
      <x:c r="E29" s="12"/>
      <x:c r="F29" s="12"/>
    </x:row>
    <x:row r="30" ht="36" customHeight="1">
      <x:c r="A30" s="12"/>
      <x:c r="B30" s="12"/>
      <x:c r="C30" s="12"/>
      <x:c r="D30" s="12"/>
      <x:c r="E30" s="12"/>
      <x:c r="F30" s="12"/>
    </x:row>
    <x:row r="31" ht="36" customHeight="1">
      <x:c r="A31" s="12"/>
      <x:c r="B31" s="12"/>
      <x:c r="C31" s="12"/>
      <x:c r="D31" s="12"/>
      <x:c r="E31" s="12"/>
      <x:c r="F31" s="12"/>
    </x:row>
  </x:sheetData>
  <x:mergeCells>
    <x:mergeCell ref="A1:F1"/>
    <x:mergeCell ref="A2:F2"/>
    <x:mergeCell ref="A10:F10"/>
    <x:mergeCell ref="A14:F14"/>
    <x:mergeCell ref="A17:F17"/>
    <x:mergeCell ref="A20:F20"/>
    <x:mergeCell ref="B3:C3"/>
    <x:mergeCell ref="E3:F3"/>
    <x:mergeCell ref="B4:C4"/>
    <x:mergeCell ref="E4:F4"/>
    <x:mergeCell ref="B5:C5"/>
    <x:mergeCell ref="E5:F5"/>
    <x:mergeCell ref="B6:C6"/>
    <x:mergeCell ref="E6:F6"/>
    <x:mergeCell ref="B7:C7"/>
    <x:mergeCell ref="E7:F7"/>
    <x:mergeCell ref="B8:C8"/>
    <x:mergeCell ref="E8:F8"/>
    <x:mergeCell ref="B9:C9"/>
    <x:mergeCell ref="E9:F9"/>
    <x:mergeCell ref="B11:F11"/>
    <x:mergeCell ref="B12:F12"/>
    <x:mergeCell ref="B13:F13"/>
    <x:mergeCell ref="B18:C18"/>
    <x:mergeCell ref="D18:F18"/>
    <x:mergeCell ref="B19:C19"/>
    <x:mergeCell ref="D19:F19"/>
    <x:mergeCell ref="E15:F15"/>
    <x:mergeCell ref="E16:F16"/>
    <x:mergeCell ref="E21:F21"/>
    <x:mergeCell ref="E22:F22"/>
    <x:mergeCell ref="E23:F23"/>
    <x:mergeCell ref="E24:F24"/>
    <x:mergeCell ref="E25:F25"/>
    <x:mergeCell ref="E26:F26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3" ySplit="1" topLeftCell="D2" activePane="bottomRight" state="frozen"/>
    </x:sheetView>
  </x:sheetViews>
  <x:sheetFormatPr defaultRowHeight="15"/>
  <x:cols>
    <x:col min="1" max="1" width="12.220000267028809" hidden="0" customWidth="1"/>
    <x:col min="2" max="2" width="13.329999923706055" hidden="0" customWidth="1"/>
    <x:col min="3" max="3" width="19.440000534057617" hidden="0" customWidth="1"/>
    <x:col min="4" max="4" width="11.109999656677246" hidden="0" customWidth="1"/>
    <x:col min="5" max="5" width="9.4399995803833" hidden="0" customWidth="1"/>
    <x:col min="6" max="6" width="16.670000076293945" hidden="0" customWidth="1"/>
    <x:col min="7" max="7" width="23.329999923706055" hidden="0" customWidth="1"/>
    <x:col min="8" max="8" width="34.439998626708984" hidden="0" customWidth="1"/>
    <x:col min="9" max="9" width="34.439998626708984" hidden="0" customWidth="1"/>
    <x:col min="10" max="10" width="28.329999923706055" hidden="0" customWidth="1"/>
    <x:col min="11" max="11" width="31.670000076293945" hidden="0" customWidth="1"/>
    <x:col min="12" max="12" width="10" hidden="0" customWidth="1"/>
    <x:col min="13" max="13" width="41.66999816894531" hidden="0" customWidth="1"/>
  </x:cols>
  <x:sheetData>
    <x:row r="1" ht="49.5" customHeight="1">
      <x:c r="A1" s="9" t="str">
        <x:v>Test Case ID 测试用例编号</x:v>
      </x:c>
      <x:c r="B1" s="9" t="str">
        <x:v>Test Item 测试项（即功能模块或函数）</x:v>
      </x:c>
      <x:c r="C1" s="9" t="str">
        <x:v>Test Case Title 测试用例标题</x:v>
      </x:c>
      <x:c r="D1" s="9" t="str">
        <x:v>Test Criticality重要级别</x:v>
      </x:c>
      <x:c r="E1" s="9" t="str">
        <x:v>是否自动用例</x:v>
      </x:c>
      <x:c r="F1" s="9" t="str">
        <x:v>是否新增修改用例</x:v>
      </x:c>
      <x:c r="G1" s="9" t="str">
        <x:v>Pre-condition 预置条件</x:v>
      </x:c>
      <x:c r="H1" s="9" t="str">
        <x:v>Input 输入</x:v>
      </x:c>
      <x:c r="I1" s="9" t="str">
        <x:v>Procedure 操作步骤</x:v>
      </x:c>
      <x:c r="J1" s="9" t="str">
        <x:v>Output 预期结果</x:v>
      </x:c>
      <x:c r="K1" s="9" t="str">
        <x:v>Result
实际结果</x:v>
      </x:c>
      <x:c r="L1" s="9" t="str">
        <x:v>Status
是否通过</x:v>
      </x:c>
      <x:c r="M1" s="9" t="str">
        <x:v>Remark 备注（在此描述使用的测试方法）</x:v>
      </x:c>
    </x:row>
    <x:row r="2" ht="111" customHeight="1">
      <x:c r="A2" s="10" t="str">
        <x:v>TC-001</x:v>
      </x:c>
      <x:c r="B2" s="10" t="str">
        <x:v>认证</x:v>
      </x:c>
      <x:c r="C2" s="10" t="str">
        <x:v>正常注册</x:v>
      </x:c>
      <x:c r="D2" s="11" t="str">
        <x:v>高</x:v>
      </x:c>
      <x:c r="E2" s="11" t="str">
        <x:v>是</x:v>
      </x:c>
      <x:c r="F2" s="11" t="str">
        <x:v>否（已有）</x:v>
      </x:c>
      <x:c r="G2" s="10" t="str">
        <x:v>pytest隔离测试数据库；需登录的场景在测试内注册</x:v>
      </x:c>
      <x:c r="H2" s="10" t="str">
        <x:v>username=alice
email=alice@example.com
password=secret123</x:v>
      </x:c>
      <x:c r="I2" s="10" t="str">
        <x:v>提交 alice、alice@example.com、secret123</x:v>
      </x:c>
      <x:c r="J2" s="10" t="str">
        <x:v>201；返回用户及访问、刷新令牌</x:v>
      </x:c>
      <x:c r="K2" s="10" t="str">
        <x:v>201；返回用户及访问、刷新令牌</x:v>
      </x:c>
      <x:c r="L2" s="11" t="str">
        <x:v>OK</x:v>
      </x:c>
      <x:c r="M2" s="10" t="str">
        <x:v>场景法
tests/test_auth.py::TestRegister::test_register_success
负责：陆京超</x:v>
      </x:c>
    </x:row>
    <x:row r="3" ht="111" customHeight="1">
      <x:c r="A3" s="10" t="str">
        <x:v>TC-002</x:v>
      </x:c>
      <x:c r="B3" s="10" t="str">
        <x:v>认证</x:v>
      </x:c>
      <x:c r="C3" s="10" t="str">
        <x:v>重复用户名</x:v>
      </x:c>
      <x:c r="D3" s="11" t="str">
        <x:v>高</x:v>
      </x:c>
      <x:c r="E3" s="11" t="str">
        <x:v>是</x:v>
      </x:c>
      <x:c r="F3" s="11" t="str">
        <x:v>否（已有）</x:v>
      </x:c>
      <x:c r="G3" s="10" t="str">
        <x:v>pytest隔离测试数据库；需登录的场景在测试内注册</x:v>
      </x:c>
      <x:c r="H3" s="10" t="str">
        <x:v>首次：标准注册数据
再次：username=alice
email=other@example.com</x:v>
      </x:c>
      <x:c r="I3" s="10" t="str">
        <x:v>注册后以相同用户名、其他邮箱再次注册</x:v>
      </x:c>
      <x:c r="J3" s="10" t="str">
        <x:v>409</x:v>
      </x:c>
      <x:c r="K3" s="10" t="str">
        <x:v>409</x:v>
      </x:c>
      <x:c r="L3" s="11" t="str">
        <x:v>OK</x:v>
      </x:c>
      <x:c r="M3" s="10" t="str">
        <x:v>等价类
tests/test_auth.py::TestRegister::test_register_duplicate_username
负责：陆京超</x:v>
      </x:c>
    </x:row>
    <x:row r="4" ht="111" customHeight="1">
      <x:c r="A4" s="10" t="str">
        <x:v>TC-003</x:v>
      </x:c>
      <x:c r="B4" s="10" t="str">
        <x:v>认证</x:v>
      </x:c>
      <x:c r="C4" s="10" t="str">
        <x:v>重复邮箱</x:v>
      </x:c>
      <x:c r="D4" s="11" t="str">
        <x:v>高</x:v>
      </x:c>
      <x:c r="E4" s="11" t="str">
        <x:v>是</x:v>
      </x:c>
      <x:c r="F4" s="11" t="str">
        <x:v>否（已有）</x:v>
      </x:c>
      <x:c r="G4" s="10" t="str">
        <x:v>pytest隔离测试数据库；需登录的场景在测试内注册</x:v>
      </x:c>
      <x:c r="H4" s="10" t="str">
        <x:v>首次：标准注册数据
再次：username=bob
email=alice@example.com</x:v>
      </x:c>
      <x:c r="I4" s="10" t="str">
        <x:v>注册后以不同用户名、相同邮箱再次注册</x:v>
      </x:c>
      <x:c r="J4" s="10" t="str">
        <x:v>409</x:v>
      </x:c>
      <x:c r="K4" s="10" t="str">
        <x:v>409</x:v>
      </x:c>
      <x:c r="L4" s="11" t="str">
        <x:v>OK</x:v>
      </x:c>
      <x:c r="M4" s="10" t="str">
        <x:v>等价类
tests/test_auth.py::TestRegister::test_register_duplicate_email
负责：陆京超</x:v>
      </x:c>
    </x:row>
    <x:row r="5" ht="111" customHeight="1">
      <x:c r="A5" s="10" t="str">
        <x:v>TC-004</x:v>
      </x:c>
      <x:c r="B5" s="10" t="str">
        <x:v>认证</x:v>
      </x:c>
      <x:c r="C5" s="10" t="str">
        <x:v>用户名过短</x:v>
      </x:c>
      <x:c r="D5" s="11" t="str">
        <x:v>中</x:v>
      </x:c>
      <x:c r="E5" s="11" t="str">
        <x:v>是</x:v>
      </x:c>
      <x:c r="F5" s="11" t="str">
        <x:v>否（已有）</x:v>
      </x:c>
      <x:c r="G5" s="10" t="str">
        <x:v>pytest隔离测试数据库；需登录的场景在测试内注册</x:v>
      </x:c>
      <x:c r="H5" s="10" t="str">
        <x:v>username=ab；其余为标准注册数据</x:v>
      </x:c>
      <x:c r="I5" s="10" t="str">
        <x:v>注册时 username=ab，其余字段合法</x:v>
      </x:c>
      <x:c r="J5" s="10" t="str">
        <x:v>422</x:v>
      </x:c>
      <x:c r="K5" s="10" t="str">
        <x:v>422</x:v>
      </x:c>
      <x:c r="L5" s="11" t="str">
        <x:v>OK</x:v>
      </x:c>
      <x:c r="M5" s="10" t="str">
        <x:v>等价类
tests/test_auth.py::TestRegister::test_register_validation[bad0]
负责：陆京超</x:v>
      </x:c>
    </x:row>
    <x:row r="6" ht="111" customHeight="1">
      <x:c r="A6" s="10" t="str">
        <x:v>TC-005</x:v>
      </x:c>
      <x:c r="B6" s="10" t="str">
        <x:v>认证</x:v>
      </x:c>
      <x:c r="C6" s="10" t="str">
        <x:v>用户名包含空格</x:v>
      </x:c>
      <x:c r="D6" s="11" t="str">
        <x:v>中</x:v>
      </x:c>
      <x:c r="E6" s="11" t="str">
        <x:v>是</x:v>
      </x:c>
      <x:c r="F6" s="11" t="str">
        <x:v>否（已有）</x:v>
      </x:c>
      <x:c r="G6" s="10" t="str">
        <x:v>pytest隔离测试数据库；需登录的场景在测试内注册</x:v>
      </x:c>
      <x:c r="H6" s="10" t="str">
        <x:v>username=bad name；其余为标准注册数据</x:v>
      </x:c>
      <x:c r="I6" s="10" t="str">
        <x:v>注册时 username=bad name</x:v>
      </x:c>
      <x:c r="J6" s="10" t="str">
        <x:v>422</x:v>
      </x:c>
      <x:c r="K6" s="10" t="str">
        <x:v>422</x:v>
      </x:c>
      <x:c r="L6" s="11" t="str">
        <x:v>OK</x:v>
      </x:c>
      <x:c r="M6" s="10" t="str">
        <x:v>等价类
tests/test_auth.py::TestRegister::test_register_validation[bad1]
负责：陆京超</x:v>
      </x:c>
    </x:row>
    <x:row r="7" ht="111" customHeight="1">
      <x:c r="A7" s="10" t="str">
        <x:v>TC-006</x:v>
      </x:c>
      <x:c r="B7" s="10" t="str">
        <x:v>认证</x:v>
      </x:c>
      <x:c r="C7" s="10" t="str">
        <x:v>邮箱格式错误</x:v>
      </x:c>
      <x:c r="D7" s="11" t="str">
        <x:v>中</x:v>
      </x:c>
      <x:c r="E7" s="11" t="str">
        <x:v>是</x:v>
      </x:c>
      <x:c r="F7" s="11" t="str">
        <x:v>否（已有）</x:v>
      </x:c>
      <x:c r="G7" s="10" t="str">
        <x:v>pytest隔离测试数据库；需登录的场景在测试内注册</x:v>
      </x:c>
      <x:c r="H7" s="10" t="str">
        <x:v>email=not-an-email；其余为标准注册数据</x:v>
      </x:c>
      <x:c r="I7" s="10" t="str">
        <x:v>注册时 email=not-an-email</x:v>
      </x:c>
      <x:c r="J7" s="10" t="str">
        <x:v>422</x:v>
      </x:c>
      <x:c r="K7" s="10" t="str">
        <x:v>422</x:v>
      </x:c>
      <x:c r="L7" s="11" t="str">
        <x:v>OK</x:v>
      </x:c>
      <x:c r="M7" s="10" t="str">
        <x:v>等价类
tests/test_auth.py::TestRegister::test_register_validation[bad2]
负责：陆京超</x:v>
      </x:c>
    </x:row>
    <x:row r="8" ht="111" customHeight="1">
      <x:c r="A8" s="10" t="str">
        <x:v>TC-007</x:v>
      </x:c>
      <x:c r="B8" s="10" t="str">
        <x:v>认证</x:v>
      </x:c>
      <x:c r="C8" s="10" t="str">
        <x:v>密码过短</x:v>
      </x:c>
      <x:c r="D8" s="11" t="str">
        <x:v>中</x:v>
      </x:c>
      <x:c r="E8" s="11" t="str">
        <x:v>是</x:v>
      </x:c>
      <x:c r="F8" s="11" t="str">
        <x:v>否（已有）</x:v>
      </x:c>
      <x:c r="G8" s="10" t="str">
        <x:v>pytest隔离测试数据库；需登录的场景在测试内注册</x:v>
      </x:c>
      <x:c r="H8" s="10" t="str">
        <x:v>password=123；其余为标准注册数据</x:v>
      </x:c>
      <x:c r="I8" s="10" t="str">
        <x:v>注册时 password=123</x:v>
      </x:c>
      <x:c r="J8" s="10" t="str">
        <x:v>422</x:v>
      </x:c>
      <x:c r="K8" s="10" t="str">
        <x:v>422</x:v>
      </x:c>
      <x:c r="L8" s="11" t="str">
        <x:v>OK</x:v>
      </x:c>
      <x:c r="M8" s="10" t="str">
        <x:v>等价类
tests/test_auth.py::TestRegister::test_register_validation[bad3]
负责：陆京超</x:v>
      </x:c>
    </x:row>
    <x:row r="9" ht="111" customHeight="1">
      <x:c r="A9" s="10" t="str">
        <x:v>TC-008</x:v>
      </x:c>
      <x:c r="B9" s="10" t="str">
        <x:v>认证</x:v>
      </x:c>
      <x:c r="C9" s="10" t="str">
        <x:v>正常登录</x:v>
      </x:c>
      <x:c r="D9" s="11" t="str">
        <x:v>高</x:v>
      </x:c>
      <x:c r="E9" s="11" t="str">
        <x:v>是</x:v>
      </x:c>
      <x:c r="F9" s="11" t="str">
        <x:v>否（已有）</x:v>
      </x:c>
      <x:c r="G9" s="10" t="str">
        <x:v>pytest隔离测试数据库；需登录的场景在测试内注册</x:v>
      </x:c>
      <x:c r="H9" s="10" t="str">
        <x:v>username=alice
password=secret123</x:v>
      </x:c>
      <x:c r="I9" s="10" t="str">
        <x:v>注册后使用正确用户名和密码登录</x:v>
      </x:c>
      <x:c r="J9" s="10" t="str">
        <x:v>200；返回访问令牌</x:v>
      </x:c>
      <x:c r="K9" s="10" t="str">
        <x:v>200；返回访问令牌</x:v>
      </x:c>
      <x:c r="L9" s="11" t="str">
        <x:v>OK</x:v>
      </x:c>
      <x:c r="M9" s="10" t="str">
        <x:v>场景法
tests/test_auth.py::TestLogin::test_login_success
负责：陆京超</x:v>
      </x:c>
    </x:row>
    <x:row r="10" ht="111" customHeight="1">
      <x:c r="A10" s="10" t="str">
        <x:v>TC-009</x:v>
      </x:c>
      <x:c r="B10" s="10" t="str">
        <x:v>认证</x:v>
      </x:c>
      <x:c r="C10" s="10" t="str">
        <x:v>错误密码登录</x:v>
      </x:c>
      <x:c r="D10" s="11" t="str">
        <x:v>高</x:v>
      </x:c>
      <x:c r="E10" s="11" t="str">
        <x:v>是</x:v>
      </x:c>
      <x:c r="F10" s="11" t="str">
        <x:v>否（已有）</x:v>
      </x:c>
      <x:c r="G10" s="10" t="str">
        <x:v>pytest隔离测试数据库；需登录的场景在测试内注册</x:v>
      </x:c>
      <x:c r="H10" s="10" t="str">
        <x:v>username=alice
password=nope-nope</x:v>
      </x:c>
      <x:c r="I10" s="10" t="str">
        <x:v>注册后使用错误密码登录</x:v>
      </x:c>
      <x:c r="J10" s="10" t="str">
        <x:v>401</x:v>
      </x:c>
      <x:c r="K10" s="10" t="str">
        <x:v>401</x:v>
      </x:c>
      <x:c r="L10" s="11" t="str">
        <x:v>OK</x:v>
      </x:c>
      <x:c r="M10" s="10" t="str">
        <x:v>等价类
tests/test_auth.py::TestLogin::test_login_wrong_password
负责：陆京超</x:v>
      </x:c>
    </x:row>
    <x:row r="11" ht="111" customHeight="1">
      <x:c r="A11" s="10" t="str">
        <x:v>TC-010</x:v>
      </x:c>
      <x:c r="B11" s="10" t="str">
        <x:v>认证</x:v>
      </x:c>
      <x:c r="C11" s="10" t="str">
        <x:v>不存在的用户登录</x:v>
      </x:c>
      <x:c r="D11" s="11" t="str">
        <x:v>高</x:v>
      </x:c>
      <x:c r="E11" s="11" t="str">
        <x:v>是</x:v>
      </x:c>
      <x:c r="F11" s="11" t="str">
        <x:v>否（已有）</x:v>
      </x:c>
      <x:c r="G11" s="10" t="str">
        <x:v>pytest隔离测试数据库；需登录的场景在测试内注册</x:v>
      </x:c>
      <x:c r="H11" s="10" t="str">
        <x:v>username=ghost
password=whatever</x:v>
      </x:c>
      <x:c r="I11" s="10" t="str">
        <x:v>使用 ghost 用户名登录</x:v>
      </x:c>
      <x:c r="J11" s="10" t="str">
        <x:v>401</x:v>
      </x:c>
      <x:c r="K11" s="10" t="str">
        <x:v>401</x:v>
      </x:c>
      <x:c r="L11" s="11" t="str">
        <x:v>OK</x:v>
      </x:c>
      <x:c r="M11" s="10" t="str">
        <x:v>等价类
tests/test_auth.py::TestLogin::test_login_unknown_user
负责：陆京超</x:v>
      </x:c>
    </x:row>
    <x:row r="12" ht="111" customHeight="1">
      <x:c r="A12" s="10" t="str">
        <x:v>TC-011</x:v>
      </x:c>
      <x:c r="B12" s="10" t="str">
        <x:v>认证</x:v>
      </x:c>
      <x:c r="C12" s="10" t="str">
        <x:v>刷新令牌成功</x:v>
      </x:c>
      <x:c r="D12" s="11" t="str">
        <x:v>高</x:v>
      </x:c>
      <x:c r="E12" s="11" t="str">
        <x:v>是</x:v>
      </x:c>
      <x:c r="F12" s="11" t="str">
        <x:v>否（已有）</x:v>
      </x:c>
      <x:c r="G12" s="10" t="str">
        <x:v>pytest隔离测试数据库；需登录的场景在测试内注册</x:v>
      </x:c>
      <x:c r="H12" s="10" t="str">
        <x:v>refresh_token=本用例注册返回的刷新令牌</x:v>
      </x:c>
      <x:c r="I12" s="10" t="str">
        <x:v>注册后使用 refresh_token 请求刷新</x:v>
      </x:c>
      <x:c r="J12" s="10" t="str">
        <x:v>200；返回访问令牌</x:v>
      </x:c>
      <x:c r="K12" s="10" t="str">
        <x:v>200；返回访问令牌</x:v>
      </x:c>
      <x:c r="L12" s="11" t="str">
        <x:v>OK</x:v>
      </x:c>
      <x:c r="M12" s="10" t="str">
        <x:v>场景法
tests/test_auth.py::TestRefresh::test_refresh_success
负责：陆京超</x:v>
      </x:c>
    </x:row>
    <x:row r="13" ht="111" customHeight="1">
      <x:c r="A13" s="10" t="str">
        <x:v>TC-012</x:v>
      </x:c>
      <x:c r="B13" s="10" t="str">
        <x:v>认证</x:v>
      </x:c>
      <x:c r="C13" s="10" t="str">
        <x:v>用访问令牌刷新</x:v>
      </x:c>
      <x:c r="D13" s="11" t="str">
        <x:v>高</x:v>
      </x:c>
      <x:c r="E13" s="11" t="str">
        <x:v>是</x:v>
      </x:c>
      <x:c r="F13" s="11" t="str">
        <x:v>否（已有）</x:v>
      </x:c>
      <x:c r="G13" s="10" t="str">
        <x:v>pytest隔离测试数据库；需登录的场景在测试内注册</x:v>
      </x:c>
      <x:c r="H13" s="10" t="str">
        <x:v>refresh_token=本用例注册返回的访问令牌</x:v>
      </x:c>
      <x:c r="I13" s="10" t="str">
        <x:v>将 access_token 当作 refresh_token 提交</x:v>
      </x:c>
      <x:c r="J13" s="10" t="str">
        <x:v>401</x:v>
      </x:c>
      <x:c r="K13" s="10" t="str">
        <x:v>401</x:v>
      </x:c>
      <x:c r="L13" s="11" t="str">
        <x:v>OK</x:v>
      </x:c>
      <x:c r="M13" s="10" t="str">
        <x:v>等价类
tests/test_auth.py::TestRefresh::test_refresh_rejects_access_token
负责：陆京超</x:v>
      </x:c>
    </x:row>
    <x:row r="14" ht="111" customHeight="1">
      <x:c r="A14" s="10" t="str">
        <x:v>TC-013</x:v>
      </x:c>
      <x:c r="B14" s="10" t="str">
        <x:v>认证</x:v>
      </x:c>
      <x:c r="C14" s="10" t="str">
        <x:v>无效刷新令牌</x:v>
      </x:c>
      <x:c r="D14" s="11" t="str">
        <x:v>高</x:v>
      </x:c>
      <x:c r="E14" s="11" t="str">
        <x:v>是</x:v>
      </x:c>
      <x:c r="F14" s="11" t="str">
        <x:v>否（已有）</x:v>
      </x:c>
      <x:c r="G14" s="10" t="str">
        <x:v>pytest隔离测试数据库；需登录的场景在测试内注册</x:v>
      </x:c>
      <x:c r="H14" s="10" t="str">
        <x:v>refresh_token=garbage</x:v>
      </x:c>
      <x:c r="I14" s="10" t="str">
        <x:v>提交 refresh_token=garbage</x:v>
      </x:c>
      <x:c r="J14" s="10" t="str">
        <x:v>401</x:v>
      </x:c>
      <x:c r="K14" s="10" t="str">
        <x:v>401</x:v>
      </x:c>
      <x:c r="L14" s="11" t="str">
        <x:v>OK</x:v>
      </x:c>
      <x:c r="M14" s="10" t="str">
        <x:v>等价类
tests/test_auth.py::TestRefresh::test_refresh_invalid
负责：陆京超</x:v>
      </x:c>
    </x:row>
    <x:row r="15" ht="111" customHeight="1">
      <x:c r="A15" s="10" t="str">
        <x:v>TC-014</x:v>
      </x:c>
      <x:c r="B15" s="10" t="str">
        <x:v>个人信息</x:v>
      </x:c>
      <x:c r="C15" s="10" t="str">
        <x:v>未登录读取个人信息</x:v>
      </x:c>
      <x:c r="D15" s="11" t="str">
        <x:v>高</x:v>
      </x:c>
      <x:c r="E15" s="11" t="str">
        <x:v>是</x:v>
      </x:c>
      <x:c r="F15" s="11" t="str">
        <x:v>否（已有）</x:v>
      </x:c>
      <x:c r="G15" s="10" t="str">
        <x:v>pytest隔离测试数据库；需登录的场景在测试内注册</x:v>
      </x:c>
      <x:c r="H15" s="10" t="str">
        <x:v>不提供 Authorization 请求头</x:v>
      </x:c>
      <x:c r="I15" s="10" t="str">
        <x:v>不带令牌 GET /api/v1/users/me</x:v>
      </x:c>
      <x:c r="J15" s="10" t="str">
        <x:v>401</x:v>
      </x:c>
      <x:c r="K15" s="10" t="str">
        <x:v>401</x:v>
      </x:c>
      <x:c r="L15" s="11" t="str">
        <x:v>OK</x:v>
      </x:c>
      <x:c r="M15" s="10" t="str">
        <x:v>等价类
tests/test_users.py::TestMe::test_me_requires_auth
负责：陆京超</x:v>
      </x:c>
    </x:row>
    <x:row r="16" ht="111" customHeight="1">
      <x:c r="A16" s="10" t="str">
        <x:v>TC-015</x:v>
      </x:c>
      <x:c r="B16" s="10" t="str">
        <x:v>个人信息</x:v>
      </x:c>
      <x:c r="C16" s="10" t="str">
        <x:v>正常读取个人信息</x:v>
      </x:c>
      <x:c r="D16" s="11" t="str">
        <x:v>高</x:v>
      </x:c>
      <x:c r="E16" s="11" t="str">
        <x:v>是</x:v>
      </x:c>
      <x:c r="F16" s="11" t="str">
        <x:v>否（已有）</x:v>
      </x:c>
      <x:c r="G16" s="10" t="str">
        <x:v>pytest隔离测试数据库；需登录的场景在测试内注册</x:v>
      </x:c>
      <x:c r="H16" s="10" t="str">
        <x:v>Authorization: Bearer 本用例有效访问令牌</x:v>
      </x:c>
      <x:c r="I16" s="10" t="str">
        <x:v>注册后携带令牌 GET /api/v1/users/me</x:v>
      </x:c>
      <x:c r="J16" s="10" t="str">
        <x:v>200；用户名 alice</x:v>
      </x:c>
      <x:c r="K16" s="10" t="str">
        <x:v>200；用户名 alice</x:v>
      </x:c>
      <x:c r="L16" s="11" t="str">
        <x:v>OK</x:v>
      </x:c>
      <x:c r="M16" s="10" t="str">
        <x:v>场景法
tests/test_users.py::TestMe::test_me_ok
负责：陆京超</x:v>
      </x:c>
    </x:row>
    <x:row r="17" ht="111" customHeight="1">
      <x:c r="A17" s="10" t="str">
        <x:v>TC-016</x:v>
      </x:c>
      <x:c r="B17" s="10" t="str">
        <x:v>个人信息</x:v>
      </x:c>
      <x:c r="C17" s="10" t="str">
        <x:v>非法令牌读取个人信息</x:v>
      </x:c>
      <x:c r="D17" s="11" t="str">
        <x:v>高</x:v>
      </x:c>
      <x:c r="E17" s="11" t="str">
        <x:v>是</x:v>
      </x:c>
      <x:c r="F17" s="11" t="str">
        <x:v>否（已有）</x:v>
      </x:c>
      <x:c r="G17" s="10" t="str">
        <x:v>pytest隔离测试数据库；需登录的场景在测试内注册</x:v>
      </x:c>
      <x:c r="H17" s="10" t="str">
        <x:v>Authorization: Bearer invalid.token.here</x:v>
      </x:c>
      <x:c r="I17" s="10" t="str">
        <x:v>携带 invalid.token.here 读取个人信息</x:v>
      </x:c>
      <x:c r="J17" s="10" t="str">
        <x:v>401</x:v>
      </x:c>
      <x:c r="K17" s="10" t="str">
        <x:v>401</x:v>
      </x:c>
      <x:c r="L17" s="11" t="str">
        <x:v>OK</x:v>
      </x:c>
      <x:c r="M17" s="10" t="str">
        <x:v>等价类
tests/test_users.py::TestMe::test_me_invalid_token
负责：袁立沛</x:v>
      </x:c>
    </x:row>
    <x:row r="18" ht="111" customHeight="1">
      <x:c r="A18" s="10" t="str">
        <x:v>TC-017</x:v>
      </x:c>
      <x:c r="B18" s="10" t="str">
        <x:v>个人信息</x:v>
      </x:c>
      <x:c r="C18" s="10" t="str">
        <x:v>修改个人信息</x:v>
      </x:c>
      <x:c r="D18" s="11" t="str">
        <x:v>中</x:v>
      </x:c>
      <x:c r="E18" s="11" t="str">
        <x:v>是</x:v>
      </x:c>
      <x:c r="F18" s="11" t="str">
        <x:v>否（已有）</x:v>
      </x:c>
      <x:c r="G18" s="10" t="str">
        <x:v>pytest隔离测试数据库；需登录的场景在测试内注册</x:v>
      </x:c>
      <x:c r="H18" s="10" t="str">
        <x:v>有效访问令牌
nickname=Ally
gender=female
birth_date=2000-01-01</x:v>
      </x:c>
      <x:c r="I18" s="10" t="str">
        <x:v>注册登录后修改昵称 Ally、性别 female、生日 2000-01-01</x:v>
      </x:c>
      <x:c r="J18" s="10" t="str">
        <x:v>200；返回字段与提交内容一致</x:v>
      </x:c>
      <x:c r="K18" s="10" t="str">
        <x:v>200；返回字段与提交内容一致</x:v>
      </x:c>
      <x:c r="L18" s="11" t="str">
        <x:v>OK</x:v>
      </x:c>
      <x:c r="M18" s="10" t="str">
        <x:v>场景法
tests/test_users.py::TestUpdateProfile::test_update_profile
负责：袁立沛</x:v>
      </x:c>
    </x:row>
    <x:row r="19" ht="111" customHeight="1">
      <x:c r="A19" s="10" t="str">
        <x:v>TC-018</x:v>
      </x:c>
      <x:c r="B19" s="10" t="str">
        <x:v>个人信息</x:v>
      </x:c>
      <x:c r="C19" s="10" t="str">
        <x:v>非法性别</x:v>
      </x:c>
      <x:c r="D19" s="11" t="str">
        <x:v>中</x:v>
      </x:c>
      <x:c r="E19" s="11" t="str">
        <x:v>是</x:v>
      </x:c>
      <x:c r="F19" s="11" t="str">
        <x:v>否（已有）</x:v>
      </x:c>
      <x:c r="G19" s="10" t="str">
        <x:v>pytest隔离测试数据库；需登录的场景在测试内注册</x:v>
      </x:c>
      <x:c r="H19" s="10" t="str">
        <x:v>有效访问令牌
gender=unknown</x:v>
      </x:c>
      <x:c r="I19" s="10" t="str">
        <x:v>注册后提交 gender=unknown</x:v>
      </x:c>
      <x:c r="J19" s="10" t="str">
        <x:v>422</x:v>
      </x:c>
      <x:c r="K19" s="10" t="str">
        <x:v>422</x:v>
      </x:c>
      <x:c r="L19" s="11" t="str">
        <x:v>OK</x:v>
      </x:c>
      <x:c r="M19" s="10" t="str">
        <x:v>等价类
tests/test_users.py::TestUpdateProfile::test_update_profile_invalid_gender
负责：袁立沛</x:v>
      </x:c>
    </x:row>
    <x:row r="20" ht="111" customHeight="1">
      <x:c r="A20" s="10" t="str">
        <x:v>TC-019</x:v>
      </x:c>
      <x:c r="B20" s="10" t="str">
        <x:v>个人信息</x:v>
      </x:c>
      <x:c r="C20" s="10" t="str">
        <x:v>正常修改密码</x:v>
      </x:c>
      <x:c r="D20" s="11" t="str">
        <x:v>高</x:v>
      </x:c>
      <x:c r="E20" s="11" t="str">
        <x:v>是</x:v>
      </x:c>
      <x:c r="F20" s="11" t="str">
        <x:v>否（已有）</x:v>
      </x:c>
      <x:c r="G20" s="10" t="str">
        <x:v>pytest隔离测试数据库；需登录的场景在测试内注册</x:v>
      </x:c>
      <x:c r="H20" s="10" t="str">
        <x:v>old_password=secret123
new_password=new-secret-456
验证登录：alice，分别使用新旧密码</x:v>
      </x:c>
      <x:c r="I20" s="10" t="str">
        <x:v>使用正确旧密码改为 new-secret-456；分别用新旧密码登录</x:v>
      </x:c>
      <x:c r="J20" s="10" t="str">
        <x:v>修改204；旧密码登录401；新密码登录200</x:v>
      </x:c>
      <x:c r="K20" s="10" t="str">
        <x:v>修改204；旧密码登录401；新密码登录200</x:v>
      </x:c>
      <x:c r="L20" s="11" t="str">
        <x:v>OK</x:v>
      </x:c>
      <x:c r="M20" s="10" t="str">
        <x:v>场景法
tests/test_users.py::TestChangePassword::test_change_password_success
负责：袁立沛</x:v>
      </x:c>
    </x:row>
    <x:row r="21" ht="111" customHeight="1">
      <x:c r="A21" s="10" t="str">
        <x:v>TC-020</x:v>
      </x:c>
      <x:c r="B21" s="10" t="str">
        <x:v>个人信息</x:v>
      </x:c>
      <x:c r="C21" s="10" t="str">
        <x:v>旧密码错误</x:v>
      </x:c>
      <x:c r="D21" s="11" t="str">
        <x:v>高</x:v>
      </x:c>
      <x:c r="E21" s="11" t="str">
        <x:v>是</x:v>
      </x:c>
      <x:c r="F21" s="11" t="str">
        <x:v>否（已有）</x:v>
      </x:c>
      <x:c r="G21" s="10" t="str">
        <x:v>pytest隔离测试数据库；需登录的场景在测试内注册</x:v>
      </x:c>
      <x:c r="H21" s="10" t="str">
        <x:v>old_password=wrong-old
new_password=new-secret-456</x:v>
      </x:c>
      <x:c r="I21" s="10" t="str">
        <x:v>提交 old_password=wrong-old</x:v>
      </x:c>
      <x:c r="J21" s="10" t="str">
        <x:v>400</x:v>
      </x:c>
      <x:c r="K21" s="10" t="str">
        <x:v>400</x:v>
      </x:c>
      <x:c r="L21" s="11" t="str">
        <x:v>OK</x:v>
      </x:c>
      <x:c r="M21" s="10" t="str">
        <x:v>等价类
tests/test_users.py::TestChangePassword::test_change_password_wrong_old
负责：袁立沛</x:v>
      </x:c>
    </x:row>
    <x:row r="22" ht="111" customHeight="1">
      <x:c r="A22" s="10" t="str">
        <x:v>TC-021</x:v>
      </x:c>
      <x:c r="B22" s="10" t="str">
        <x:v>血压记录</x:v>
      </x:c>
      <x:c r="C22" s="10" t="str">
        <x:v>未登录访问记录</x:v>
      </x:c>
      <x:c r="D22" s="11" t="str">
        <x:v>高</x:v>
      </x:c>
      <x:c r="E22" s="11" t="str">
        <x:v>是</x:v>
      </x:c>
      <x:c r="F22" s="11" t="str">
        <x:v>否（已有）</x:v>
      </x:c>
      <x:c r="G22" s="10" t="str">
        <x:v>pytest隔离测试数据库；需登录的场景在测试内注册</x:v>
      </x:c>
      <x:c r="H22" s="10" t="str">
        <x:v>无 Authorization 请求头
新增请求使用标准血压数据</x:v>
      </x:c>
      <x:c r="I22" s="10" t="str">
        <x:v>不带令牌查询和新增血压记录</x:v>
      </x:c>
      <x:c r="J22" s="10" t="str">
        <x:v>两个请求均401</x:v>
      </x:c>
      <x:c r="K22" s="10" t="str">
        <x:v>两个请求均401</x:v>
      </x:c>
      <x:c r="L22" s="11" t="str">
        <x:v>OK</x:v>
      </x:c>
      <x:c r="M22" s="10" t="str">
        <x:v>等价类
tests/test_bp_records.py::TestAuth::test_requires_auth
负责：袁立沛</x:v>
      </x:c>
    </x:row>
    <x:row r="23" ht="111" customHeight="1">
      <x:c r="A23" s="10" t="str">
        <x:v>TC-022</x:v>
      </x:c>
      <x:c r="B23" s="10" t="str">
        <x:v>血压记录</x:v>
      </x:c>
      <x:c r="C23" s="10" t="str">
        <x:v>新增并读取记录</x:v>
      </x:c>
      <x:c r="D23" s="11" t="str">
        <x:v>高</x:v>
      </x:c>
      <x:c r="E23" s="11" t="str">
        <x:v>是</x:v>
      </x:c>
      <x:c r="F23" s="11" t="str">
        <x:v>否（已有）</x:v>
      </x:c>
      <x:c r="G23" s="10" t="str">
        <x:v>pytest隔离测试数据库；需登录的场景在测试内注册</x:v>
      </x:c>
      <x:c r="H23" s="10" t="str">
        <x:v>标准血压数据
查询 ID=新增响应中的 id</x:v>
      </x:c>
      <x:c r="I23" s="10" t="str">
        <x:v>注册后新增120/80、心率72、当前测量时间的记录；按ID读取</x:v>
      </x:c>
      <x:c r="J23" s="10" t="str">
        <x:v>新增201；读取200且ID一致</x:v>
      </x:c>
      <x:c r="K23" s="10" t="str">
        <x:v>新增201；读取200且ID一致</x:v>
      </x:c>
      <x:c r="L23" s="11" t="str">
        <x:v>OK</x:v>
      </x:c>
      <x:c r="M23" s="10" t="str">
        <x:v>场景法
tests/test_bp_records.py::TestCrud::test_create_and_get
负责：袁立沛</x:v>
      </x:c>
    </x:row>
    <x:row r="24" ht="111" customHeight="1">
      <x:c r="A24" s="10" t="str">
        <x:v>TC-023</x:v>
      </x:c>
      <x:c r="B24" s="10" t="str">
        <x:v>血压记录</x:v>
      </x:c>
      <x:c r="C24" s="10" t="str">
        <x:v>分页查询</x:v>
      </x:c>
      <x:c r="D24" s="11" t="str">
        <x:v>中</x:v>
      </x:c>
      <x:c r="E24" s="11" t="str">
        <x:v>是</x:v>
      </x:c>
      <x:c r="F24" s="11" t="str">
        <x:v>否（已有）</x:v>
      </x:c>
      <x:c r="G24" s="10" t="str">
        <x:v>pytest隔离测试数据库；需登录的场景在测试内注册</x:v>
      </x:c>
      <x:c r="H24" s="10" t="str">
        <x:v>5条记录 systolic=110至114
measured_at=当前UTC时间减0至4小时
page=1，size=3</x:v>
      </x:c>
      <x:c r="I24" s="10" t="str">
        <x:v>注册后新增5条记录；查询 page=1&amp;size=3</x:v>
      </x:c>
      <x:c r="J24" s="10" t="str">
        <x:v>200；total=5且items有3条</x:v>
      </x:c>
      <x:c r="K24" s="10" t="str">
        <x:v>200；total=5且items有3条</x:v>
      </x:c>
      <x:c r="L24" s="11" t="str">
        <x:v>OK</x:v>
      </x:c>
      <x:c r="M24" s="10" t="str">
        <x:v>场景法
tests/test_bp_records.py::TestCrud::test_list_pagination
负责：袁立沛</x:v>
      </x:c>
    </x:row>
    <x:row r="25" ht="111" customHeight="1">
      <x:c r="A25" s="10" t="str">
        <x:v>TC-024</x:v>
      </x:c>
      <x:c r="B25" s="10" t="str">
        <x:v>血压记录</x:v>
      </x:c>
      <x:c r="C25" s="10" t="str">
        <x:v>修改并删除记录</x:v>
      </x:c>
      <x:c r="D25" s="11" t="str">
        <x:v>高</x:v>
      </x:c>
      <x:c r="E25" s="11" t="str">
        <x:v>是</x:v>
      </x:c>
      <x:c r="F25" s="11" t="str">
        <x:v>否（已有）</x:v>
      </x:c>
      <x:c r="G25" s="10" t="str">
        <x:v>pytest隔离测试数据库；需登录的场景在测试内注册</x:v>
      </x:c>
      <x:c r="H25" s="10" t="str">
        <x:v>标准血压数据
更新 systolic=135
目标 ID=新增响应中的 id</x:v>
      </x:c>
      <x:c r="I25" s="10" t="str">
        <x:v>新增记录后收缩压改为135；删除；再次读取</x:v>
      </x:c>
      <x:c r="J25" s="10" t="str">
        <x:v>修改200且值135；删除204；再次读取404</x:v>
      </x:c>
      <x:c r="K25" s="10" t="str">
        <x:v>修改200且值135；删除204；再次读取404</x:v>
      </x:c>
      <x:c r="L25" s="11" t="str">
        <x:v>OK</x:v>
      </x:c>
      <x:c r="M25" s="10" t="str">
        <x:v>场景法
tests/test_bp_records.py::TestCrud::test_update_and_delete
负责：袁立沛</x:v>
      </x:c>
    </x:row>
    <x:row r="26" ht="126" customHeight="1">
      <x:c r="A26" s="10" t="str">
        <x:v>TC-025</x:v>
      </x:c>
      <x:c r="B26" s="10" t="str">
        <x:v>血压记录</x:v>
      </x:c>
      <x:c r="C26" s="10" t="str">
        <x:v>不同用户数据隔离</x:v>
      </x:c>
      <x:c r="D26" s="11" t="str">
        <x:v>高</x:v>
      </x:c>
      <x:c r="E26" s="11" t="str">
        <x:v>是</x:v>
      </x:c>
      <x:c r="F26" s="11" t="str">
        <x:v>否（已有）</x:v>
      </x:c>
      <x:c r="G26" s="10" t="str">
        <x:v>pytest隔离测试数据库；需登录的场景在测试内注册</x:v>
      </x:c>
      <x:c r="H26" s="10" t="str">
        <x:v>A：alice / alice@example.com
B：bob / bob@example.com
两者密码均为secret123
A创建标准血压记录，B访问A的记录ID</x:v>
      </x:c>
      <x:c r="I26" s="10" t="str">
        <x:v>用户A新增记录；用户B按ID读取并查询列表</x:v>
      </x:c>
      <x:c r="J26" s="10" t="str">
        <x:v>按ID读取404；B列表total=0</x:v>
      </x:c>
      <x:c r="K26" s="10" t="str">
        <x:v>按ID读取404；B列表total=0</x:v>
      </x:c>
      <x:c r="L26" s="11" t="str">
        <x:v>OK</x:v>
      </x:c>
      <x:c r="M26" s="10" t="str">
        <x:v>场景法
tests/test_bp_records.py::TestCrud::test_user_isolation
负责：袁立沛</x:v>
      </x:c>
    </x:row>
    <x:row r="27" ht="111" customHeight="1">
      <x:c r="A27" s="10" t="str">
        <x:v>TC-026</x:v>
      </x:c>
      <x:c r="B27" s="10" t="str">
        <x:v>血压记录</x:v>
      </x:c>
      <x:c r="C27" s="10" t="str">
        <x:v>血压数值超范围</x:v>
      </x:c>
      <x:c r="D27" s="11" t="str">
        <x:v>高</x:v>
      </x:c>
      <x:c r="E27" s="11" t="str">
        <x:v>是</x:v>
      </x:c>
      <x:c r="F27" s="11" t="str">
        <x:v>否（已有）</x:v>
      </x:c>
      <x:c r="G27" s="10" t="str">
        <x:v>pytest隔离测试数据库；需登录的场景在测试内注册</x:v>
      </x:c>
      <x:c r="H27" s="10" t="str">
        <x:v>systolic=500
其他字段使用标准血压数据</x:v>
      </x:c>
      <x:c r="I27" s="10" t="str">
        <x:v>注册后提交 systolic=500，其余合法</x:v>
      </x:c>
      <x:c r="J27" s="10" t="str">
        <x:v>422</x:v>
      </x:c>
      <x:c r="K27" s="10" t="str">
        <x:v>422</x:v>
      </x:c>
      <x:c r="L27" s="11" t="str">
        <x:v>OK</x:v>
      </x:c>
      <x:c r="M27" s="10" t="str">
        <x:v>等价类
tests/test_bp_records.py::TestCrud::test_validation_out_of_range
负责：袁立沛</x:v>
      </x:c>
    </x:row>
    <x:row r="28" ht="111" customHeight="1">
      <x:c r="A28" s="10" t="str">
        <x:v>TC-027</x:v>
      </x:c>
      <x:c r="B28" s="10" t="str">
        <x:v>血压记录</x:v>
      </x:c>
      <x:c r="C28" s="10" t="str">
        <x:v>空数据统计</x:v>
      </x:c>
      <x:c r="D28" s="11" t="str">
        <x:v>中</x:v>
      </x:c>
      <x:c r="E28" s="11" t="str">
        <x:v>是</x:v>
      </x:c>
      <x:c r="F28" s="11" t="str">
        <x:v>否（已有）</x:v>
      </x:c>
      <x:c r="G28" s="10" t="str">
        <x:v>pytest隔离测试数据库；需登录的场景在测试内注册</x:v>
      </x:c>
      <x:c r="H28" s="10" t="str">
        <x:v>无血压记录
days=7</x:v>
      </x:c>
      <x:c r="I28" s="10" t="str">
        <x:v>注册后不新增记录；查询 stats?days=7</x:v>
      </x:c>
      <x:c r="J28" s="10" t="str">
        <x:v>200；count=0，window_days=7</x:v>
      </x:c>
      <x:c r="K28" s="10" t="str">
        <x:v>200；count=0，window_days=7</x:v>
      </x:c>
      <x:c r="L28" s="11" t="str">
        <x:v>OK</x:v>
      </x:c>
      <x:c r="M28" s="10" t="str">
        <x:v>场景法
tests/test_bp_records.py::TestStatsAndForecast::test_stats_empty
负责：袁立沛</x:v>
      </x:c>
    </x:row>
    <x:row r="29" ht="111" customHeight="1">
      <x:c r="A29" s="10" t="str">
        <x:v>TC-028</x:v>
      </x:c>
      <x:c r="B29" s="10" t="str">
        <x:v>血压记录</x:v>
      </x:c>
      <x:c r="C29" s="10" t="str">
        <x:v>有数据统计</x:v>
      </x:c>
      <x:c r="D29" s="11" t="str">
        <x:v>高</x:v>
      </x:c>
      <x:c r="E29" s="11" t="str">
        <x:v>是</x:v>
      </x:c>
      <x:c r="F29" s="11" t="str">
        <x:v>否（已有）</x:v>
      </x:c>
      <x:c r="G29" s="10" t="str">
        <x:v>pytest隔离测试数据库；需登录的场景在测试内注册</x:v>
      </x:c>
      <x:c r="H29" s="10" t="str">
        <x:v>血压：120/80、130/85、140/90
其他字段使用标准血压数据
days=30</x:v>
      </x:c>
      <x:c r="I29" s="10" t="str">
        <x:v>新增120/80、130/85、140/90三条；查询30天统计</x:v>
      </x:c>
      <x:c r="J29" s="10" t="str">
        <x:v>count=3；收缩压最大140、最小120、平均130</x:v>
      </x:c>
      <x:c r="K29" s="10" t="str">
        <x:v>count=3；收缩压最大140、最小120、平均130</x:v>
      </x:c>
      <x:c r="L29" s="11" t="str">
        <x:v>OK</x:v>
      </x:c>
      <x:c r="M29" s="10" t="str">
        <x:v>场景法
tests/test_bp_records.py::TestStatsAndForecast::test_stats_with_data
负责：袁立沛</x:v>
      </x:c>
    </x:row>
    <x:row r="30" ht="111" customHeight="1">
      <x:c r="A30" s="10" t="str">
        <x:v>TC-029</x:v>
      </x:c>
      <x:c r="B30" s="10" t="str">
        <x:v>血压记录</x:v>
      </x:c>
      <x:c r="C30" s="10" t="str">
        <x:v>无数据预测</x:v>
      </x:c>
      <x:c r="D30" s="11" t="str">
        <x:v>中</x:v>
      </x:c>
      <x:c r="E30" s="11" t="str">
        <x:v>是</x:v>
      </x:c>
      <x:c r="F30" s="11" t="str">
        <x:v>否（已有）</x:v>
      </x:c>
      <x:c r="G30" s="10" t="str">
        <x:v>pytest隔离测试数据库；需登录的场景在测试内注册</x:v>
      </x:c>
      <x:c r="H30" s="10" t="str">
        <x:v>无血压记录
forecast接口不附加查询参数</x:v>
      </x:c>
      <x:c r="I30" s="10" t="str">
        <x:v>注册后不新增记录；查询 forecast</x:v>
      </x:c>
      <x:c r="J30" s="10" t="str">
        <x:v>trend=unknown；points为空</x:v>
      </x:c>
      <x:c r="K30" s="10" t="str">
        <x:v>trend=unknown；points为空</x:v>
      </x:c>
      <x:c r="L30" s="11" t="str">
        <x:v>OK</x:v>
      </x:c>
      <x:c r="M30" s="10" t="str">
        <x:v>场景法
tests/test_bp_records.py::TestStatsAndForecast::test_forecast_insufficient
负责：袁立沛</x:v>
      </x:c>
    </x:row>
    <x:row r="31" ht="111" customHeight="1">
      <x:c r="A31" s="10" t="str">
        <x:v>TC-030</x:v>
      </x:c>
      <x:c r="B31" s="10" t="str">
        <x:v>血压记录</x:v>
      </x:c>
      <x:c r="C31" s="10" t="str">
        <x:v>有数据预测</x:v>
      </x:c>
      <x:c r="D31" s="11" t="str">
        <x:v>中</x:v>
      </x:c>
      <x:c r="E31" s="11" t="str">
        <x:v>是</x:v>
      </x:c>
      <x:c r="F31" s="11" t="str">
        <x:v>否（已有）</x:v>
      </x:c>
      <x:c r="G31" s="10" t="str">
        <x:v>pytest隔离测试数据库；需登录的场景在测试内注册</x:v>
      </x:c>
      <x:c r="H31" s="10" t="str">
        <x:v>systolic=120、122、125、128、130
对应当前UTC日期前4日至当天
其他字段使用标准血压数据</x:v>
      </x:c>
      <x:c r="I31" s="10" t="str">
        <x:v>连续5天收缩压120、122、125、128、130；查询 forecast</x:v>
      </x:c>
      <x:c r="J31" s="10" t="str">
        <x:v>至少1个预测点；trend属于up/down/stable</x:v>
      </x:c>
      <x:c r="K31" s="10" t="str">
        <x:v>至少1个预测点；trend属于up/down/stable</x:v>
      </x:c>
      <x:c r="L31" s="11" t="str">
        <x:v>OK</x:v>
      </x:c>
      <x:c r="M31" s="10" t="str">
        <x:v>场景法
tests/test_bp_records.py::TestStatsAndForecast::test_forecast_with_data
负责：袁立沛</x:v>
      </x:c>
    </x:row>
  </x:sheetData>
  <x:conditionalFormatting sqref="L2:L31">
    <x:cfRule type="cellIs" dxfId="0" priority="1" operator="equal">
      <x:formula>"OK"</x:formula>
    </x:cfRule>
  </x:conditionalFormatting>
  <x:dataValidations count="2">
    <x:dataValidation type="list" sqref="D2:D31">
      <x:formula1>"高,中,低"</x:formula1>
    </x:dataValidation>
    <x:dataValidation type="list" sqref="L2:L31">
      <x:formula1>"OK,POK,NG,NT"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7.78000020980835" hidden="0" customWidth="1"/>
    <x:col min="2" max="2" width="107.77999877929688" hidden="0" customWidth="1"/>
  </x:cols>
  <x:sheetData>
    <x:row r="1" ht="31.5" customHeight="1">
      <x:c r="A1" s="22" t="str">
        <x:v>使用说明</x:v>
      </x:c>
      <x:c r="B1" s="22" t="str"/>
    </x:row>
    <x:row r="2" ht="54" customHeight="1">
      <x:c r="A2" s="12" t="n">
        <x:v>1</x:v>
      </x:c>
      <x:c r="B2" s="12" t="str">
        <x:v>共有30条用例。OK表示通过，POK部分通过，NG失败，NT无法执行。</x:v>
      </x:c>
    </x:row>
    <x:row r="3" ht="54" customHeight="1">
      <x:c r="A3" s="12" t="n">
        <x:v>2</x:v>
      </x:c>
      <x:c r="B3" s="12" t="str">
        <x:v>标准注册数据：alice / alice@example.com / secret123。均为测试账号。</x:v>
      </x:c>
    </x:row>
    <x:row r="4" ht="54" customHeight="1">
      <x:c r="A4" s="12" t="n">
        <x:v>3</x:v>
      </x:c>
      <x:c r="B4" s="12" t="str">
        <x:v>标准血压数据：120/80，心率72，当前UTC时间，source=manual。</x:v>
      </x:c>
    </x:row>
    <x:row r="5" ht="54" customHeight="1">
      <x:c r="A5" s="12" t="n">
        <x:v>4</x:v>
      </x:c>
      <x:c r="B5" s="12" t="str">
        <x:v>输入列说明不同于默认值的参数。每条测试使用自己的内存数据库。</x:v>
      </x:c>
    </x:row>
    <x:row r="6" ht="54" customHeight="1">
      <x:c r="A6" s="12" t="n">
        <x:v>5</x:v>
      </x:c>
      <x:c r="B6" s="12" t="str">
        <x:v>备注列记录设计方法、测试函数和负责成员。3条缺陷专项不计入本表。</x:v>
      </x:c>
    </x:row>
  </x:sheetData>
  <x:mergeCells>
    <x:mergeCell ref="A1:B1"/>
  </x:mergeCells>
  <x:pageMargins left="0.7" right="0.7" top="0.75" bottom="0.75" header="0.3" footer="0.3"/>
</x:worksheet>
</file>